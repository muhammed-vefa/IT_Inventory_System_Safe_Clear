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ED-VEFA-IS\.gemini\antigravity\scratch\IT_Inventory_System\database\ana_database\"/>
    </mc:Choice>
  </mc:AlternateContent>
  <xr:revisionPtr revIDLastSave="0" documentId="13_ncr:1_{B97D12C5-3582-48E7-9B55-891CE52F1CDD}" xr6:coauthVersionLast="47" xr6:coauthVersionMax="47" xr10:uidLastSave="{00000000-0000-0000-0000-000000000000}"/>
  <bookViews>
    <workbookView xWindow="28680" yWindow="-120" windowWidth="29040" windowHeight="15720" activeTab="1" xr2:uid="{F6A6C552-C946-4026-B642-A70016B21355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6" authorId="0" shapeId="0" xr:uid="{8C3C1217-E0D8-4AA4-8542-A4A649B56292}">
      <text>
        <r>
          <rPr>
            <sz val="10"/>
            <color rgb="FF000000"/>
            <rFont val="Calibri"/>
            <family val="2"/>
            <scheme val="minor"/>
          </rPr>
          <t xml:space="preserve">E75675F0N442386 seri numaralı PR-272 il sağlık müdürlüğü'ne gönderilmiştir. </t>
        </r>
      </text>
    </comment>
  </commentList>
</comments>
</file>

<file path=xl/sharedStrings.xml><?xml version="1.0" encoding="utf-8"?>
<sst xmlns="http://schemas.openxmlformats.org/spreadsheetml/2006/main" count="157" uniqueCount="86">
  <si>
    <t>A4 KAĞIDI (TOP)</t>
  </si>
  <si>
    <t>HASTA KABUL BARKODU (50-45)(ADET)</t>
  </si>
  <si>
    <t>KAN BARKODU (45*30)(ADET)</t>
  </si>
  <si>
    <t>KAN BARKODU KIRMIZI (45*30)(ADET)</t>
  </si>
  <si>
    <t>ECZANE BARKODU (100*100)(ADET)</t>
  </si>
  <si>
    <t>YETİŞKİN BİLEKLİK (ADET)</t>
  </si>
  <si>
    <t>ÇOCUK BİLEKLİK (ADET)</t>
  </si>
  <si>
    <t>ANNE TAG BİLEKLİK</t>
  </si>
  <si>
    <t>ÇOCUK TAG BİLEKLİK</t>
  </si>
  <si>
    <t>KİOSK SIRAMATİK (ADET)</t>
  </si>
  <si>
    <t>TONER 204U(3467) (ADET)</t>
  </si>
  <si>
    <t>RENKLİ SİYAH TONER (TN466BK) (ADET)</t>
  </si>
  <si>
    <t>RENKLİ KIRMIZI TONER(TN-466M)</t>
  </si>
  <si>
    <t>RENKLİ MAVİ TONER (TN-466C)</t>
  </si>
  <si>
    <t>RENKLİ SARI TONER(TN-466Y)</t>
  </si>
  <si>
    <t>DRUM ÜNİTESİ(DR 3405)</t>
  </si>
  <si>
    <t>DOLU SU(ADET)</t>
  </si>
  <si>
    <t>BOŞ SU(ADET)</t>
  </si>
  <si>
    <t>BARDAK (PAKET)</t>
  </si>
  <si>
    <t>ÇAY</t>
  </si>
  <si>
    <t>TÜRK KAHVESİ</t>
  </si>
  <si>
    <t>SÜT TOZU</t>
  </si>
  <si>
    <t>NESCAFE</t>
  </si>
  <si>
    <t>ŞEKER (KUTU)</t>
  </si>
  <si>
    <t>KARIŞTIRICI</t>
  </si>
  <si>
    <t>ÜRÜN ADI</t>
  </si>
  <si>
    <t>SAHADA</t>
  </si>
  <si>
    <t>KAYIP</t>
  </si>
  <si>
    <t>ARIZALI</t>
  </si>
  <si>
    <t>TOPLAM</t>
  </si>
  <si>
    <t>BİLGİSAYAR OPTIPLEX 3080</t>
  </si>
  <si>
    <t>BİLGİSAYAR OPTIPLEX 5000</t>
  </si>
  <si>
    <t>EVEREST KLAVYE MAUSE</t>
  </si>
  <si>
    <t>F KLAVYE MAUSE</t>
  </si>
  <si>
    <t>HDMI KABLO</t>
  </si>
  <si>
    <t>DVD OKUYUCU</t>
  </si>
  <si>
    <t>LOGİTECH KAMERA</t>
  </si>
  <si>
    <t>USB UZATMA</t>
  </si>
  <si>
    <t>BARKOD OKUYUCU</t>
  </si>
  <si>
    <t>BARKOD YAZICI</t>
  </si>
  <si>
    <t>BROTHER 5200 YAZICI</t>
  </si>
  <si>
    <t>BROTHER 6900 YAZICI</t>
  </si>
  <si>
    <t>BROTHER 8690 RENKLİ YAZICI</t>
  </si>
  <si>
    <t>EPSON NOKTA VURUŞLU YAZICI (LX-350)</t>
  </si>
  <si>
    <t>EPSON LX-30 SİYAH ŞERİT</t>
  </si>
  <si>
    <t>CANON TARAYICI DR-C230</t>
  </si>
  <si>
    <t>CANON A3 TARAYICI DR-G2090</t>
  </si>
  <si>
    <t>KLİNİK TABLET - SAMSUNG SM-T 390</t>
  </si>
  <si>
    <t>KAN ALMA TABLETİ - UROVO</t>
  </si>
  <si>
    <t>KAN ALMA TABLETİ AYAĞI</t>
  </si>
  <si>
    <t>SAMSUNG MONİTÖR 22 İNÇ</t>
  </si>
  <si>
    <t>SAMSUNG EKRAN 24 İNÇ</t>
  </si>
  <si>
    <t>SAMSUNG EKRAN 43 İNÇ</t>
  </si>
  <si>
    <t>48 port POE sw ARUBA</t>
  </si>
  <si>
    <t>48 port sw ARUBA</t>
  </si>
  <si>
    <t>HPE 5710 48SFP 6QS/2QS28 SW</t>
  </si>
  <si>
    <t>48 port 740 w POE sw ARUBA</t>
  </si>
  <si>
    <t>24 PORT HUAWEİ SW</t>
  </si>
  <si>
    <t>48 PORT HUAWEİ SW</t>
  </si>
  <si>
    <t>24 PORT HUAWEİ OMURGA SW</t>
  </si>
  <si>
    <t>ALTILI TOPRAKLI PRİZ 3 METRE</t>
  </si>
  <si>
    <t>ALTILI TOPRAKLI PRİZ 5 METRE</t>
  </si>
  <si>
    <t>REGLAJ</t>
  </si>
  <si>
    <t>ARUBA ACCESS POINT</t>
  </si>
  <si>
    <t>SIRAMATIK KİOSK (BEYAZ)</t>
  </si>
  <si>
    <t>INFO KİOSK (KIRMIZI)</t>
  </si>
  <si>
    <t>HPE 5710 250W FB AC PSU</t>
  </si>
  <si>
    <t>HPE X721 FB FAN TRAY</t>
  </si>
  <si>
    <t>KABİN</t>
  </si>
  <si>
    <t>KABİN RAF</t>
  </si>
  <si>
    <t>CAT6 KEYSTONE</t>
  </si>
  <si>
    <t>METAL PANEL 24 PORT KEYSTONE JACK EMPTY 19</t>
  </si>
  <si>
    <t>UPS SINUS EVO 1 KVA K</t>
  </si>
  <si>
    <t>POWER UZATMA KABLOSU</t>
  </si>
  <si>
    <t>POWER UZATMA KABLOSU 5 MT</t>
  </si>
  <si>
    <t>UROVO TABLET BATARYASI</t>
  </si>
  <si>
    <t>SARF MALZEME</t>
  </si>
  <si>
    <t>CAT6 A METAL KEYSTONE</t>
  </si>
  <si>
    <t xml:space="preserve">KALAN </t>
  </si>
  <si>
    <t>KATEGORİ</t>
  </si>
  <si>
    <t>MEVCUT STOK</t>
  </si>
  <si>
    <t>DONANIM</t>
  </si>
  <si>
    <t>AĞ VE ALTYAPI</t>
  </si>
  <si>
    <t>OFİS / GIDA</t>
  </si>
  <si>
    <t>AKSESUAR</t>
  </si>
  <si>
    <t>87(19)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</si>
</sst>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162"/>
      <scheme val="minor"/>
    </font>
    <font>
      <b/>
      <sz val="10"/>
      <color theme="1"/>
      <name val="Aptos Narrow"/>
      <family val="2"/>
    </font>
    <font>
      <b/>
      <sz val="15"/>
      <color theme="1"/>
      <name val="Aptos Narrow"/>
      <family val="2"/>
    </font>
    <font>
      <b/>
      <sz val="15"/>
      <color theme="1"/>
      <name val="Arial"/>
      <family val="2"/>
      <charset val="162"/>
    </font>
    <font>
      <b/>
      <sz val="11"/>
      <color theme="1"/>
      <name val="Aptos Narrow"/>
      <family val="2"/>
    </font>
    <font>
      <b/>
      <sz val="10"/>
      <color rgb="FFCCCCCC"/>
      <name val="Segoe UI"/>
      <family val="2"/>
      <charset val="162"/>
    </font>
    <font>
      <b/>
      <sz val="11"/>
      <color rgb="FF000000"/>
      <name val="Google Sans Text"/>
    </font>
    <font>
      <sz val="11"/>
      <color theme="1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b/>
      <sz val="12"/>
      <color rgb="FF000000"/>
      <name val="Calibri"/>
      <family val="2"/>
      <charset val="162"/>
      <scheme val="minor"/>
    </font>
    <font>
      <b/>
      <sz val="11"/>
      <color rgb="FF000000"/>
      <name val="Arial"/>
      <family val="2"/>
      <charset val="162"/>
    </font>
    <font>
      <sz val="10"/>
      <color theme="1"/>
      <name val="Arial"/>
      <family val="2"/>
      <charset val="162"/>
    </font>
    <font>
      <sz val="11"/>
      <color rgb="FF000000"/>
      <name val="Arial"/>
      <family val="2"/>
      <charset val="162"/>
    </font>
    <font>
      <sz val="10"/>
      <color theme="1"/>
      <name val="Calibri"/>
      <family val="2"/>
      <charset val="162"/>
      <scheme val="minor"/>
    </font>
    <font>
      <sz val="10"/>
      <color rgb="FF000000"/>
      <name val="Calibri"/>
      <family val="2"/>
      <scheme val="minor"/>
    </font>
    <font>
      <b/>
      <sz val="15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252526"/>
        <bgColor indexed="64"/>
      </patternFill>
    </fill>
    <fill>
      <patternFill patternType="solid">
        <fgColor rgb="FF92D050"/>
        <bgColor rgb="FF92D050"/>
      </patternFill>
    </fill>
  </fills>
  <borders count="12">
    <border>
      <left/>
      <right/>
      <top/>
      <bottom/>
      <diagonal/>
    </border>
    <border>
      <left style="double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top" wrapText="1"/>
    </xf>
    <xf numFmtId="0" fontId="2" fillId="0" borderId="5" xfId="0" applyFont="1" applyBorder="1" applyAlignment="1">
      <alignment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6" fillId="0" borderId="0" xfId="0" applyFont="1"/>
    <xf numFmtId="0" fontId="4" fillId="0" borderId="1" xfId="0" applyFont="1" applyBorder="1" applyAlignment="1">
      <alignment horizontal="right" wrapText="1"/>
    </xf>
    <xf numFmtId="0" fontId="4" fillId="0" borderId="4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center" vertical="top"/>
    </xf>
    <xf numFmtId="0" fontId="9" fillId="0" borderId="7" xfId="0" applyFont="1" applyBorder="1" applyAlignment="1">
      <alignment horizontal="center"/>
    </xf>
    <xf numFmtId="0" fontId="10" fillId="4" borderId="8" xfId="0" applyFont="1" applyFill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1" fillId="0" borderId="7" xfId="0" applyFont="1" applyBorder="1" applyAlignment="1">
      <alignment horizontal="center" vertical="top"/>
    </xf>
    <xf numFmtId="0" fontId="12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 vertical="top"/>
    </xf>
    <xf numFmtId="0" fontId="7" fillId="0" borderId="7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 vertical="top"/>
    </xf>
    <xf numFmtId="0" fontId="9" fillId="0" borderId="9" xfId="0" applyFont="1" applyBorder="1" applyAlignment="1">
      <alignment horizontal="center"/>
    </xf>
    <xf numFmtId="0" fontId="3" fillId="0" borderId="10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</cellXfs>
  <cellStyles count="1">
    <cellStyle name="Normal" xfId="0" builtinId="0"/>
  </cellStyles>
  <dxfs count="2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35470-03C4-483F-A0E1-5C542C030251}">
  <dimension ref="A1:G49"/>
  <sheetViews>
    <sheetView workbookViewId="0">
      <selection activeCell="C2" sqref="C2:G48"/>
    </sheetView>
  </sheetViews>
  <sheetFormatPr defaultRowHeight="15"/>
  <cols>
    <col min="1" max="1" width="52.85546875" customWidth="1"/>
    <col min="2" max="2" width="20.5703125" customWidth="1"/>
    <col min="3" max="3" width="8.7109375" bestFit="1" customWidth="1"/>
    <col min="4" max="4" width="8.42578125" bestFit="1" customWidth="1"/>
    <col min="5" max="5" width="6.140625" bestFit="1" customWidth="1"/>
    <col min="6" max="6" width="7.7109375" bestFit="1" customWidth="1"/>
    <col min="7" max="7" width="11.28515625" bestFit="1" customWidth="1"/>
  </cols>
  <sheetData>
    <row r="1" spans="1:7" ht="29.25" thickBot="1">
      <c r="A1" s="3" t="s">
        <v>25</v>
      </c>
      <c r="B1" s="8" t="s">
        <v>79</v>
      </c>
      <c r="C1" s="8" t="s">
        <v>80</v>
      </c>
      <c r="D1" s="4" t="s">
        <v>26</v>
      </c>
      <c r="E1" s="4" t="s">
        <v>27</v>
      </c>
      <c r="F1" s="4" t="s">
        <v>28</v>
      </c>
      <c r="G1" s="5" t="s">
        <v>29</v>
      </c>
    </row>
    <row r="2" spans="1:7" ht="16.5" thickBot="1">
      <c r="A2" s="6" t="s">
        <v>59</v>
      </c>
      <c r="B2" s="9" t="s">
        <v>82</v>
      </c>
      <c r="C2" s="12">
        <v>2</v>
      </c>
      <c r="D2" s="13"/>
      <c r="E2" s="13"/>
      <c r="F2" s="13"/>
      <c r="G2" s="14">
        <f>SUM(C2:F2)</f>
        <v>2</v>
      </c>
    </row>
    <row r="3" spans="1:7" ht="16.5" thickBot="1">
      <c r="A3" s="6" t="s">
        <v>57</v>
      </c>
      <c r="B3" s="9" t="s">
        <v>82</v>
      </c>
      <c r="C3" s="12">
        <v>9</v>
      </c>
      <c r="D3" s="13"/>
      <c r="E3" s="13"/>
      <c r="F3" s="13"/>
      <c r="G3" s="14">
        <f>SUM(C3:F3)</f>
        <v>9</v>
      </c>
    </row>
    <row r="4" spans="1:7" ht="16.5" thickBot="1">
      <c r="A4" s="6" t="s">
        <v>56</v>
      </c>
      <c r="B4" s="9" t="s">
        <v>82</v>
      </c>
      <c r="C4" s="12">
        <v>3</v>
      </c>
      <c r="D4" s="13"/>
      <c r="E4" s="13"/>
      <c r="F4" s="13"/>
      <c r="G4" s="14">
        <f>SUM(C4:F4)</f>
        <v>3</v>
      </c>
    </row>
    <row r="5" spans="1:7" ht="16.5" thickBot="1">
      <c r="A5" s="6" t="s">
        <v>58</v>
      </c>
      <c r="B5" s="9" t="s">
        <v>82</v>
      </c>
      <c r="C5" s="12">
        <v>15</v>
      </c>
      <c r="D5" s="13"/>
      <c r="E5" s="13"/>
      <c r="F5" s="15"/>
      <c r="G5" s="14">
        <f>SUM(C5:F5)</f>
        <v>15</v>
      </c>
    </row>
    <row r="6" spans="1:7" ht="16.5" thickBot="1">
      <c r="A6" s="6" t="s">
        <v>53</v>
      </c>
      <c r="B6" s="9" t="s">
        <v>82</v>
      </c>
      <c r="C6" s="12">
        <v>6</v>
      </c>
      <c r="D6" s="13"/>
      <c r="E6" s="13"/>
      <c r="F6" s="15">
        <v>4</v>
      </c>
      <c r="G6" s="14">
        <f>SUM(C6:F6)</f>
        <v>10</v>
      </c>
    </row>
    <row r="7" spans="1:7" ht="16.5" thickBot="1">
      <c r="A7" s="6" t="s">
        <v>54</v>
      </c>
      <c r="B7" s="9" t="s">
        <v>82</v>
      </c>
      <c r="C7" s="12">
        <v>31</v>
      </c>
      <c r="D7" s="13"/>
      <c r="E7" s="13"/>
      <c r="F7" s="13"/>
      <c r="G7" s="14">
        <f>SUM(C7:F7)</f>
        <v>31</v>
      </c>
    </row>
    <row r="8" spans="1:7" ht="16.5" thickBot="1">
      <c r="A8" s="6" t="s">
        <v>60</v>
      </c>
      <c r="B8" s="9" t="s">
        <v>84</v>
      </c>
      <c r="C8" s="12">
        <v>366</v>
      </c>
      <c r="D8" s="13"/>
      <c r="E8" s="13"/>
      <c r="F8" s="13"/>
      <c r="G8" s="14">
        <f>SUM(C8:F8)</f>
        <v>366</v>
      </c>
    </row>
    <row r="9" spans="1:7" ht="16.5" thickBot="1">
      <c r="A9" s="6" t="s">
        <v>61</v>
      </c>
      <c r="B9" s="9" t="s">
        <v>84</v>
      </c>
      <c r="C9" s="12">
        <v>213</v>
      </c>
      <c r="D9" s="13"/>
      <c r="E9" s="13"/>
      <c r="F9" s="13"/>
      <c r="G9" s="14">
        <f>SUM(C9:F9)</f>
        <v>213</v>
      </c>
    </row>
    <row r="10" spans="1:7" ht="16.5" thickBot="1">
      <c r="A10" s="6" t="s">
        <v>63</v>
      </c>
      <c r="B10" s="9" t="s">
        <v>82</v>
      </c>
      <c r="C10" s="12">
        <v>57</v>
      </c>
      <c r="D10" s="13"/>
      <c r="E10" s="13"/>
      <c r="F10" s="15">
        <v>1</v>
      </c>
      <c r="G10" s="14">
        <f>SUM(C10:F10)</f>
        <v>58</v>
      </c>
    </row>
    <row r="11" spans="1:7" ht="16.5" thickBot="1">
      <c r="A11" s="6" t="s">
        <v>38</v>
      </c>
      <c r="B11" s="9" t="s">
        <v>81</v>
      </c>
      <c r="C11" s="12">
        <v>51</v>
      </c>
      <c r="D11" s="15">
        <v>362</v>
      </c>
      <c r="E11" s="15"/>
      <c r="F11" s="15"/>
      <c r="G11" s="14">
        <f>SUM(C11:F11)</f>
        <v>413</v>
      </c>
    </row>
    <row r="12" spans="1:7" ht="16.5" thickBot="1">
      <c r="A12" s="6" t="s">
        <v>39</v>
      </c>
      <c r="B12" s="9" t="s">
        <v>81</v>
      </c>
      <c r="C12" s="12">
        <v>9</v>
      </c>
      <c r="D12" s="16">
        <v>404</v>
      </c>
      <c r="E12" s="15"/>
      <c r="F12" s="15">
        <v>7</v>
      </c>
      <c r="G12" s="14">
        <f>SUM(C12:F12)</f>
        <v>420</v>
      </c>
    </row>
    <row r="13" spans="1:7" ht="16.5" thickBot="1">
      <c r="A13" s="6" t="s">
        <v>30</v>
      </c>
      <c r="B13" s="9" t="s">
        <v>81</v>
      </c>
      <c r="C13" s="17" t="s">
        <v>85</v>
      </c>
      <c r="D13" s="15">
        <v>1717</v>
      </c>
      <c r="E13" s="15">
        <v>36</v>
      </c>
      <c r="F13" s="15">
        <v>18</v>
      </c>
      <c r="G13" s="14">
        <f>SUM(C13:F13)+99</f>
        <v>1870</v>
      </c>
    </row>
    <row r="14" spans="1:7" ht="16.5" thickBot="1">
      <c r="A14" s="6" t="s">
        <v>31</v>
      </c>
      <c r="B14" s="9" t="s">
        <v>81</v>
      </c>
      <c r="C14" s="12">
        <v>6</v>
      </c>
      <c r="D14" s="15"/>
      <c r="E14" s="15"/>
      <c r="F14" s="13"/>
      <c r="G14" s="14">
        <f>SUM(C14:F14)</f>
        <v>6</v>
      </c>
    </row>
    <row r="15" spans="1:7" ht="16.5" thickBot="1">
      <c r="A15" s="6" t="s">
        <v>40</v>
      </c>
      <c r="B15" s="9" t="s">
        <v>81</v>
      </c>
      <c r="C15" s="12">
        <v>0</v>
      </c>
      <c r="D15" s="18">
        <v>65</v>
      </c>
      <c r="E15" s="15"/>
      <c r="F15" s="15">
        <v>2</v>
      </c>
      <c r="G15" s="14">
        <f>SUM(C15:F15)</f>
        <v>67</v>
      </c>
    </row>
    <row r="16" spans="1:7" ht="16.5" thickBot="1">
      <c r="A16" s="6" t="s">
        <v>41</v>
      </c>
      <c r="B16" s="9" t="s">
        <v>81</v>
      </c>
      <c r="C16" s="17">
        <v>12</v>
      </c>
      <c r="D16" s="19">
        <v>250</v>
      </c>
      <c r="E16" s="19">
        <v>11</v>
      </c>
      <c r="F16" s="15"/>
      <c r="G16" s="14">
        <f>SUM(C16:F16)</f>
        <v>273</v>
      </c>
    </row>
    <row r="17" spans="1:7" ht="16.5" thickBot="1">
      <c r="A17" s="6" t="s">
        <v>42</v>
      </c>
      <c r="B17" s="9" t="s">
        <v>81</v>
      </c>
      <c r="C17" s="12">
        <v>1</v>
      </c>
      <c r="D17" s="15">
        <v>11</v>
      </c>
      <c r="E17" s="15"/>
      <c r="F17" s="13"/>
      <c r="G17" s="14">
        <f>SUM(C17:F17)</f>
        <v>12</v>
      </c>
    </row>
    <row r="18" spans="1:7" ht="16.5" thickBot="1">
      <c r="A18" s="6" t="s">
        <v>46</v>
      </c>
      <c r="B18" s="9" t="s">
        <v>81</v>
      </c>
      <c r="C18" s="12">
        <v>10</v>
      </c>
      <c r="D18" s="15"/>
      <c r="E18" s="15"/>
      <c r="F18" s="13"/>
      <c r="G18" s="14">
        <f>SUM(C18:F18)</f>
        <v>10</v>
      </c>
    </row>
    <row r="19" spans="1:7" ht="16.5" thickBot="1">
      <c r="A19" s="6" t="s">
        <v>45</v>
      </c>
      <c r="B19" s="9" t="s">
        <v>81</v>
      </c>
      <c r="C19" s="12">
        <v>15</v>
      </c>
      <c r="D19" s="13"/>
      <c r="E19" s="13"/>
      <c r="F19" s="13"/>
      <c r="G19" s="14">
        <f>SUM(C19:F19)</f>
        <v>15</v>
      </c>
    </row>
    <row r="20" spans="1:7" ht="16.5" thickBot="1">
      <c r="A20" s="6" t="s">
        <v>77</v>
      </c>
      <c r="B20" s="9" t="s">
        <v>82</v>
      </c>
      <c r="C20" s="12">
        <v>658</v>
      </c>
      <c r="D20" s="13"/>
      <c r="E20" s="13"/>
      <c r="F20" s="13"/>
      <c r="G20" s="14">
        <f>SUM(C20:F20)</f>
        <v>658</v>
      </c>
    </row>
    <row r="21" spans="1:7" ht="16.5" thickBot="1">
      <c r="A21" s="6" t="s">
        <v>70</v>
      </c>
      <c r="B21" s="9" t="s">
        <v>82</v>
      </c>
      <c r="C21" s="12">
        <v>0</v>
      </c>
      <c r="D21" s="13"/>
      <c r="E21" s="13"/>
      <c r="F21" s="13"/>
      <c r="G21" s="14">
        <f>SUM(C21:F21)</f>
        <v>0</v>
      </c>
    </row>
    <row r="22" spans="1:7" ht="16.5" thickBot="1">
      <c r="A22" s="6" t="s">
        <v>35</v>
      </c>
      <c r="B22" s="9" t="s">
        <v>81</v>
      </c>
      <c r="C22" s="12">
        <v>1</v>
      </c>
      <c r="D22" s="13"/>
      <c r="E22" s="13"/>
      <c r="F22" s="13">
        <v>1</v>
      </c>
      <c r="G22" s="14">
        <f>SUM(C22:F22)</f>
        <v>2</v>
      </c>
    </row>
    <row r="23" spans="1:7" ht="16.5" thickBot="1">
      <c r="A23" s="6" t="s">
        <v>44</v>
      </c>
      <c r="B23" s="9" t="s">
        <v>81</v>
      </c>
      <c r="C23" s="12">
        <v>9</v>
      </c>
      <c r="D23" s="13"/>
      <c r="E23" s="13"/>
      <c r="F23" s="13"/>
      <c r="G23" s="14">
        <f>SUM(C23:F23)</f>
        <v>9</v>
      </c>
    </row>
    <row r="24" spans="1:7" ht="16.5" thickBot="1">
      <c r="A24" s="6" t="s">
        <v>43</v>
      </c>
      <c r="B24" s="9" t="s">
        <v>81</v>
      </c>
      <c r="C24" s="12">
        <v>3</v>
      </c>
      <c r="D24" s="15"/>
      <c r="E24" s="15"/>
      <c r="F24" s="13"/>
      <c r="G24" s="14">
        <f>SUM(C24:F24)</f>
        <v>3</v>
      </c>
    </row>
    <row r="25" spans="1:7" ht="16.5" thickBot="1">
      <c r="A25" s="6" t="s">
        <v>32</v>
      </c>
      <c r="B25" s="9" t="s">
        <v>81</v>
      </c>
      <c r="C25" s="17">
        <v>48</v>
      </c>
      <c r="D25" s="15"/>
      <c r="E25" s="15"/>
      <c r="F25" s="13"/>
      <c r="G25" s="14">
        <f>SUM(C25:F25)</f>
        <v>48</v>
      </c>
    </row>
    <row r="26" spans="1:7" ht="16.5" thickBot="1">
      <c r="A26" s="6" t="s">
        <v>33</v>
      </c>
      <c r="B26" s="9" t="s">
        <v>81</v>
      </c>
      <c r="C26" s="12">
        <v>5</v>
      </c>
      <c r="D26" s="13"/>
      <c r="E26" s="13"/>
      <c r="F26" s="13"/>
      <c r="G26" s="14">
        <f>SUM(C26:F26)</f>
        <v>5</v>
      </c>
    </row>
    <row r="27" spans="1:7" ht="16.5" thickBot="1">
      <c r="A27" s="6" t="s">
        <v>34</v>
      </c>
      <c r="B27" s="9" t="s">
        <v>84</v>
      </c>
      <c r="C27" s="17">
        <v>59</v>
      </c>
      <c r="D27" s="13"/>
      <c r="E27" s="13"/>
      <c r="F27" s="13"/>
      <c r="G27" s="14">
        <f>SUM(C27:F27)</f>
        <v>59</v>
      </c>
    </row>
    <row r="28" spans="1:7" ht="16.5" thickBot="1">
      <c r="A28" s="6" t="s">
        <v>66</v>
      </c>
      <c r="B28" s="9" t="s">
        <v>82</v>
      </c>
      <c r="C28" s="12">
        <v>6</v>
      </c>
      <c r="D28" s="13"/>
      <c r="E28" s="13"/>
      <c r="F28" s="13"/>
      <c r="G28" s="14">
        <f>SUM(C28:F28)</f>
        <v>6</v>
      </c>
    </row>
    <row r="29" spans="1:7" ht="16.5" thickBot="1">
      <c r="A29" s="6" t="s">
        <v>55</v>
      </c>
      <c r="B29" s="9" t="s">
        <v>82</v>
      </c>
      <c r="C29" s="12">
        <v>3</v>
      </c>
      <c r="D29" s="13"/>
      <c r="E29" s="13"/>
      <c r="F29" s="13"/>
      <c r="G29" s="14">
        <f>SUM(C29:F29)</f>
        <v>3</v>
      </c>
    </row>
    <row r="30" spans="1:7" ht="16.5" thickBot="1">
      <c r="A30" s="6" t="s">
        <v>67</v>
      </c>
      <c r="B30" s="9" t="s">
        <v>82</v>
      </c>
      <c r="C30" s="12">
        <v>8</v>
      </c>
      <c r="D30" s="13"/>
      <c r="E30" s="13"/>
      <c r="F30" s="13"/>
      <c r="G30" s="14">
        <f>SUM(C30:F30)</f>
        <v>8</v>
      </c>
    </row>
    <row r="31" spans="1:7" ht="16.5" thickBot="1">
      <c r="A31" s="6" t="s">
        <v>65</v>
      </c>
      <c r="B31" s="9" t="s">
        <v>81</v>
      </c>
      <c r="C31" s="12">
        <v>4</v>
      </c>
      <c r="D31" s="15"/>
      <c r="E31" s="15"/>
      <c r="F31" s="15">
        <v>3</v>
      </c>
      <c r="G31" s="14">
        <f>SUM(C31:F31)</f>
        <v>7</v>
      </c>
    </row>
    <row r="32" spans="1:7" ht="16.5" thickBot="1">
      <c r="A32" s="6" t="s">
        <v>68</v>
      </c>
      <c r="B32" s="9" t="s">
        <v>82</v>
      </c>
      <c r="C32" s="12">
        <v>3</v>
      </c>
      <c r="D32" s="13"/>
      <c r="E32" s="13"/>
      <c r="F32" s="13"/>
      <c r="G32" s="14">
        <f>SUM(C32:F32)</f>
        <v>3</v>
      </c>
    </row>
    <row r="33" spans="1:7" ht="16.5" thickBot="1">
      <c r="A33" s="6" t="s">
        <v>69</v>
      </c>
      <c r="B33" s="9" t="s">
        <v>82</v>
      </c>
      <c r="C33" s="12">
        <v>18</v>
      </c>
      <c r="D33" s="13"/>
      <c r="E33" s="13"/>
      <c r="F33" s="13"/>
      <c r="G33" s="14">
        <f>SUM(C33:F33)</f>
        <v>18</v>
      </c>
    </row>
    <row r="34" spans="1:7" ht="16.5" thickBot="1">
      <c r="A34" s="6" t="s">
        <v>48</v>
      </c>
      <c r="B34" s="9" t="s">
        <v>81</v>
      </c>
      <c r="C34" s="12">
        <v>15</v>
      </c>
      <c r="D34" s="15">
        <v>49</v>
      </c>
      <c r="E34" s="15">
        <v>7</v>
      </c>
      <c r="F34" s="13">
        <v>1</v>
      </c>
      <c r="G34" s="14">
        <f>SUM(C34:F34)</f>
        <v>72</v>
      </c>
    </row>
    <row r="35" spans="1:7" ht="16.5" thickBot="1">
      <c r="A35" s="6" t="s">
        <v>49</v>
      </c>
      <c r="B35" s="9" t="s">
        <v>84</v>
      </c>
      <c r="C35" s="12">
        <v>25</v>
      </c>
      <c r="D35" s="13"/>
      <c r="E35" s="13"/>
      <c r="F35" s="13"/>
      <c r="G35" s="14">
        <f>SUM(C35:F35)</f>
        <v>25</v>
      </c>
    </row>
    <row r="36" spans="1:7" ht="16.5" thickBot="1">
      <c r="A36" s="6" t="s">
        <v>47</v>
      </c>
      <c r="B36" s="9" t="s">
        <v>81</v>
      </c>
      <c r="C36" s="12">
        <v>33</v>
      </c>
      <c r="D36" s="15">
        <v>50</v>
      </c>
      <c r="E36" s="15">
        <v>7</v>
      </c>
      <c r="F36" s="13">
        <v>0</v>
      </c>
      <c r="G36" s="14">
        <f>SUM(C36:F36)</f>
        <v>90</v>
      </c>
    </row>
    <row r="37" spans="1:7" ht="16.5" thickBot="1">
      <c r="A37" s="6" t="s">
        <v>36</v>
      </c>
      <c r="B37" s="9" t="s">
        <v>81</v>
      </c>
      <c r="C37" s="12">
        <v>21</v>
      </c>
      <c r="D37" s="15"/>
      <c r="E37" s="15"/>
      <c r="F37" s="13"/>
      <c r="G37" s="14">
        <f>SUM(C37:F37)</f>
        <v>21</v>
      </c>
    </row>
    <row r="38" spans="1:7" ht="16.5" thickBot="1">
      <c r="A38" s="6" t="s">
        <v>71</v>
      </c>
      <c r="B38" s="9" t="s">
        <v>82</v>
      </c>
      <c r="C38" s="12">
        <v>24</v>
      </c>
      <c r="D38" s="13"/>
      <c r="E38" s="13"/>
      <c r="F38" s="13"/>
      <c r="G38" s="14">
        <f>SUM(C38:F38)</f>
        <v>24</v>
      </c>
    </row>
    <row r="39" spans="1:7" ht="16.5" thickBot="1">
      <c r="A39" s="6" t="s">
        <v>73</v>
      </c>
      <c r="B39" s="9" t="s">
        <v>84</v>
      </c>
      <c r="C39" s="17">
        <v>27</v>
      </c>
      <c r="D39" s="13"/>
      <c r="E39" s="13"/>
      <c r="F39" s="13"/>
      <c r="G39" s="14">
        <f>SUM(C39:F39)</f>
        <v>27</v>
      </c>
    </row>
    <row r="40" spans="1:7" ht="16.5" thickBot="1">
      <c r="A40" s="6" t="s">
        <v>74</v>
      </c>
      <c r="B40" s="9" t="s">
        <v>84</v>
      </c>
      <c r="C40" s="12">
        <v>20</v>
      </c>
      <c r="D40" s="13"/>
      <c r="E40" s="13"/>
      <c r="F40" s="13"/>
      <c r="G40" s="14">
        <f>SUM(C40:F40)</f>
        <v>20</v>
      </c>
    </row>
    <row r="41" spans="1:7" ht="16.5" thickBot="1">
      <c r="A41" s="6" t="s">
        <v>62</v>
      </c>
      <c r="B41" s="9" t="s">
        <v>84</v>
      </c>
      <c r="C41" s="12">
        <v>13</v>
      </c>
      <c r="D41" s="13"/>
      <c r="E41" s="13"/>
      <c r="F41" s="13"/>
      <c r="G41" s="14">
        <f>SUM(C41:F41)</f>
        <v>13</v>
      </c>
    </row>
    <row r="42" spans="1:7" ht="16.5" thickBot="1">
      <c r="A42" s="6" t="s">
        <v>51</v>
      </c>
      <c r="B42" s="9" t="s">
        <v>81</v>
      </c>
      <c r="C42" s="12">
        <v>13</v>
      </c>
      <c r="D42" s="12">
        <v>423</v>
      </c>
      <c r="E42" s="15">
        <v>49</v>
      </c>
      <c r="F42" s="15">
        <v>3</v>
      </c>
      <c r="G42" s="14">
        <f>SUM(C42:F42)</f>
        <v>488</v>
      </c>
    </row>
    <row r="43" spans="1:7" ht="16.5" thickBot="1">
      <c r="A43" s="6" t="s">
        <v>52</v>
      </c>
      <c r="B43" s="9" t="s">
        <v>81</v>
      </c>
      <c r="C43" s="12">
        <v>77</v>
      </c>
      <c r="D43" s="15">
        <v>185</v>
      </c>
      <c r="E43" s="15">
        <v>16</v>
      </c>
      <c r="F43" s="15">
        <v>3</v>
      </c>
      <c r="G43" s="14">
        <f>SUM(C43:F43)</f>
        <v>281</v>
      </c>
    </row>
    <row r="44" spans="1:7" ht="16.5" thickBot="1">
      <c r="A44" s="6" t="s">
        <v>50</v>
      </c>
      <c r="B44" s="9" t="s">
        <v>81</v>
      </c>
      <c r="C44" s="17">
        <v>10</v>
      </c>
      <c r="D44" s="15">
        <v>1932</v>
      </c>
      <c r="E44" s="15">
        <v>16</v>
      </c>
      <c r="F44" s="15">
        <v>29</v>
      </c>
      <c r="G44" s="14">
        <f>SUM(C44:F44)</f>
        <v>1987</v>
      </c>
    </row>
    <row r="45" spans="1:7" ht="16.5" thickBot="1">
      <c r="A45" s="6" t="s">
        <v>64</v>
      </c>
      <c r="B45" s="9" t="s">
        <v>81</v>
      </c>
      <c r="C45" s="12">
        <v>1</v>
      </c>
      <c r="D45" s="15"/>
      <c r="E45" s="15"/>
      <c r="F45" s="15">
        <v>5</v>
      </c>
      <c r="G45" s="14">
        <f>SUM(C45:F45)</f>
        <v>6</v>
      </c>
    </row>
    <row r="46" spans="1:7" ht="16.5" thickBot="1">
      <c r="A46" s="6" t="s">
        <v>72</v>
      </c>
      <c r="B46" s="9" t="s">
        <v>82</v>
      </c>
      <c r="C46" s="12">
        <v>2</v>
      </c>
      <c r="D46" s="13"/>
      <c r="E46" s="13"/>
      <c r="F46" s="13"/>
      <c r="G46" s="14">
        <f>SUM(C46:F46)</f>
        <v>2</v>
      </c>
    </row>
    <row r="47" spans="1:7" ht="16.5" thickBot="1">
      <c r="A47" s="10" t="s">
        <v>75</v>
      </c>
      <c r="B47" s="9" t="s">
        <v>82</v>
      </c>
      <c r="C47" s="20">
        <v>15</v>
      </c>
      <c r="D47" s="21"/>
      <c r="E47" s="21"/>
      <c r="F47" s="21"/>
      <c r="G47" s="14">
        <f>SUM(C47:F47)</f>
        <v>15</v>
      </c>
    </row>
    <row r="48" spans="1:7" ht="16.5" thickBot="1">
      <c r="A48" s="11" t="s">
        <v>37</v>
      </c>
      <c r="B48" s="9" t="s">
        <v>84</v>
      </c>
      <c r="C48" s="22">
        <v>9</v>
      </c>
      <c r="D48" s="15"/>
      <c r="E48" s="15"/>
      <c r="F48" s="23"/>
      <c r="G48" s="14">
        <f>SUM(C48:F48)</f>
        <v>9</v>
      </c>
    </row>
    <row r="49" ht="15.75" thickTop="1"/>
  </sheetData>
  <sortState xmlns:xlrd2="http://schemas.microsoft.com/office/spreadsheetml/2017/richdata2" ref="A2:G48">
    <sortCondition ref="A2:A48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2CB67-3F4E-47D1-9EDA-FEB7399067BB}">
  <dimension ref="A1:E27"/>
  <sheetViews>
    <sheetView tabSelected="1" topLeftCell="A10" workbookViewId="0">
      <selection activeCell="C20" sqref="C20"/>
    </sheetView>
  </sheetViews>
  <sheetFormatPr defaultColWidth="20.7109375" defaultRowHeight="15"/>
  <cols>
    <col min="1" max="1" width="36" customWidth="1"/>
    <col min="2" max="2" width="14.5703125" bestFit="1" customWidth="1"/>
    <col min="3" max="3" width="9.140625" bestFit="1" customWidth="1"/>
    <col min="4" max="4" width="8.5703125" customWidth="1"/>
    <col min="5" max="5" width="6.85546875" customWidth="1"/>
  </cols>
  <sheetData>
    <row r="1" spans="1:5" ht="29.25" thickBot="1">
      <c r="A1" s="3" t="s">
        <v>25</v>
      </c>
      <c r="B1" s="8" t="s">
        <v>79</v>
      </c>
      <c r="C1" s="8" t="s">
        <v>80</v>
      </c>
      <c r="D1" s="4" t="s">
        <v>26</v>
      </c>
      <c r="E1" s="5" t="s">
        <v>78</v>
      </c>
    </row>
    <row r="2" spans="1:5" ht="20.25" thickBot="1">
      <c r="A2" s="1" t="s">
        <v>0</v>
      </c>
      <c r="B2" t="s">
        <v>76</v>
      </c>
      <c r="C2" s="24">
        <v>21348</v>
      </c>
      <c r="D2" s="7">
        <v>0</v>
      </c>
      <c r="E2">
        <f t="shared" ref="E2:E26" si="0">C2-D2</f>
        <v>21348</v>
      </c>
    </row>
    <row r="3" spans="1:5" ht="20.25" thickBot="1">
      <c r="A3" s="1" t="s">
        <v>1</v>
      </c>
      <c r="B3" t="s">
        <v>76</v>
      </c>
      <c r="C3" s="24">
        <v>1728</v>
      </c>
      <c r="D3" s="7">
        <v>0</v>
      </c>
      <c r="E3">
        <f t="shared" si="0"/>
        <v>1728</v>
      </c>
    </row>
    <row r="4" spans="1:5" ht="20.25" thickBot="1">
      <c r="A4" s="1" t="s">
        <v>2</v>
      </c>
      <c r="B4" t="s">
        <v>76</v>
      </c>
      <c r="C4" s="24">
        <v>1459</v>
      </c>
      <c r="D4" s="7">
        <v>0</v>
      </c>
      <c r="E4">
        <f t="shared" si="0"/>
        <v>1459</v>
      </c>
    </row>
    <row r="5" spans="1:5" ht="20.25" thickBot="1">
      <c r="A5" s="1" t="s">
        <v>3</v>
      </c>
      <c r="B5" t="s">
        <v>76</v>
      </c>
      <c r="C5" s="24">
        <v>5611</v>
      </c>
      <c r="D5" s="7">
        <v>0</v>
      </c>
      <c r="E5">
        <f t="shared" si="0"/>
        <v>5611</v>
      </c>
    </row>
    <row r="6" spans="1:5" ht="20.25" thickBot="1">
      <c r="A6" s="1" t="s">
        <v>4</v>
      </c>
      <c r="B6" t="s">
        <v>76</v>
      </c>
      <c r="C6" s="24">
        <v>2052</v>
      </c>
      <c r="D6" s="7">
        <v>0</v>
      </c>
      <c r="E6">
        <f t="shared" si="0"/>
        <v>2052</v>
      </c>
    </row>
    <row r="7" spans="1:5" ht="20.25" thickBot="1">
      <c r="A7" s="1" t="s">
        <v>5</v>
      </c>
      <c r="B7" t="s">
        <v>76</v>
      </c>
      <c r="C7" s="24">
        <v>4053</v>
      </c>
      <c r="D7" s="7">
        <v>0</v>
      </c>
      <c r="E7">
        <f t="shared" si="0"/>
        <v>4053</v>
      </c>
    </row>
    <row r="8" spans="1:5" ht="20.25" thickBot="1">
      <c r="A8" s="1" t="s">
        <v>6</v>
      </c>
      <c r="B8" t="s">
        <v>76</v>
      </c>
      <c r="C8" s="25">
        <v>3170</v>
      </c>
      <c r="D8" s="7">
        <v>0</v>
      </c>
      <c r="E8">
        <f t="shared" si="0"/>
        <v>3170</v>
      </c>
    </row>
    <row r="9" spans="1:5" ht="20.25" thickBot="1">
      <c r="A9" s="1" t="s">
        <v>7</v>
      </c>
      <c r="B9" t="s">
        <v>76</v>
      </c>
      <c r="C9" s="25">
        <v>400</v>
      </c>
      <c r="D9" s="7">
        <v>0</v>
      </c>
      <c r="E9">
        <f t="shared" si="0"/>
        <v>400</v>
      </c>
    </row>
    <row r="10" spans="1:5" ht="20.25" thickBot="1">
      <c r="A10" s="1" t="s">
        <v>8</v>
      </c>
      <c r="B10" t="s">
        <v>76</v>
      </c>
      <c r="C10" s="25">
        <v>2900</v>
      </c>
      <c r="D10" s="7">
        <v>0</v>
      </c>
      <c r="E10">
        <f t="shared" si="0"/>
        <v>2900</v>
      </c>
    </row>
    <row r="11" spans="1:5" ht="20.25" thickBot="1">
      <c r="A11" s="1" t="s">
        <v>9</v>
      </c>
      <c r="B11" t="s">
        <v>76</v>
      </c>
      <c r="C11" s="24">
        <v>4138</v>
      </c>
      <c r="D11" s="7">
        <v>0</v>
      </c>
      <c r="E11">
        <f t="shared" si="0"/>
        <v>4138</v>
      </c>
    </row>
    <row r="12" spans="1:5" ht="20.25" thickBot="1">
      <c r="A12" s="1" t="s">
        <v>10</v>
      </c>
      <c r="B12" t="s">
        <v>76</v>
      </c>
      <c r="C12" s="24">
        <v>203</v>
      </c>
      <c r="D12" s="7">
        <v>0</v>
      </c>
      <c r="E12">
        <f t="shared" si="0"/>
        <v>203</v>
      </c>
    </row>
    <row r="13" spans="1:5" ht="20.25" thickBot="1">
      <c r="A13" s="1" t="s">
        <v>11</v>
      </c>
      <c r="B13" t="s">
        <v>76</v>
      </c>
      <c r="C13" s="25">
        <v>54</v>
      </c>
      <c r="D13" s="7">
        <v>0</v>
      </c>
      <c r="E13">
        <f t="shared" si="0"/>
        <v>54</v>
      </c>
    </row>
    <row r="14" spans="1:5" ht="20.25" thickBot="1">
      <c r="A14" s="1" t="s">
        <v>12</v>
      </c>
      <c r="B14" t="s">
        <v>76</v>
      </c>
      <c r="C14" s="25">
        <v>50</v>
      </c>
      <c r="D14" s="7">
        <v>0</v>
      </c>
      <c r="E14">
        <f t="shared" si="0"/>
        <v>50</v>
      </c>
    </row>
    <row r="15" spans="1:5" ht="20.25" thickBot="1">
      <c r="A15" s="1" t="s">
        <v>13</v>
      </c>
      <c r="B15" t="s">
        <v>76</v>
      </c>
      <c r="C15" s="25">
        <v>53</v>
      </c>
      <c r="D15" s="7">
        <v>0</v>
      </c>
      <c r="E15">
        <f t="shared" si="0"/>
        <v>53</v>
      </c>
    </row>
    <row r="16" spans="1:5" ht="20.25" thickBot="1">
      <c r="A16" s="1" t="s">
        <v>14</v>
      </c>
      <c r="B16" t="s">
        <v>76</v>
      </c>
      <c r="C16" s="25">
        <v>48</v>
      </c>
      <c r="D16" s="7">
        <v>0</v>
      </c>
      <c r="E16">
        <f t="shared" si="0"/>
        <v>48</v>
      </c>
    </row>
    <row r="17" spans="1:5" ht="20.25" thickBot="1">
      <c r="A17" s="1" t="s">
        <v>15</v>
      </c>
      <c r="B17" t="s">
        <v>76</v>
      </c>
      <c r="C17" s="24">
        <v>114</v>
      </c>
      <c r="D17" s="7">
        <v>0</v>
      </c>
      <c r="E17">
        <f t="shared" si="0"/>
        <v>114</v>
      </c>
    </row>
    <row r="18" spans="1:5" ht="20.25" thickBot="1">
      <c r="A18" s="1" t="s">
        <v>16</v>
      </c>
      <c r="B18" s="9" t="s">
        <v>83</v>
      </c>
      <c r="C18" s="24">
        <v>36</v>
      </c>
      <c r="D18" s="7">
        <v>0</v>
      </c>
      <c r="E18">
        <f t="shared" si="0"/>
        <v>36</v>
      </c>
    </row>
    <row r="19" spans="1:5" ht="20.25" thickBot="1">
      <c r="A19" s="1" t="s">
        <v>17</v>
      </c>
      <c r="B19" s="9" t="s">
        <v>83</v>
      </c>
      <c r="C19" s="24">
        <v>38</v>
      </c>
      <c r="D19" s="7">
        <v>0</v>
      </c>
      <c r="E19">
        <f t="shared" si="0"/>
        <v>38</v>
      </c>
    </row>
    <row r="20" spans="1:5" ht="20.25" thickBot="1">
      <c r="A20" s="1" t="s">
        <v>18</v>
      </c>
      <c r="B20" s="9" t="s">
        <v>83</v>
      </c>
      <c r="C20" s="24">
        <v>1</v>
      </c>
      <c r="D20" s="7">
        <v>0</v>
      </c>
      <c r="E20">
        <f t="shared" si="0"/>
        <v>1</v>
      </c>
    </row>
    <row r="21" spans="1:5" ht="20.25" thickBot="1">
      <c r="A21" s="1" t="s">
        <v>19</v>
      </c>
      <c r="B21" s="9" t="s">
        <v>83</v>
      </c>
      <c r="C21" s="24">
        <v>19</v>
      </c>
      <c r="D21" s="7">
        <v>0</v>
      </c>
      <c r="E21">
        <f t="shared" si="0"/>
        <v>19</v>
      </c>
    </row>
    <row r="22" spans="1:5" ht="20.25" thickBot="1">
      <c r="A22" s="1" t="s">
        <v>20</v>
      </c>
      <c r="B22" s="9" t="s">
        <v>83</v>
      </c>
      <c r="C22" s="24">
        <v>0</v>
      </c>
      <c r="D22" s="7">
        <v>0</v>
      </c>
      <c r="E22">
        <f t="shared" si="0"/>
        <v>0</v>
      </c>
    </row>
    <row r="23" spans="1:5" ht="20.25" thickBot="1">
      <c r="A23" s="1" t="s">
        <v>21</v>
      </c>
      <c r="B23" s="9" t="s">
        <v>83</v>
      </c>
      <c r="C23" s="24">
        <v>0</v>
      </c>
      <c r="D23" s="7">
        <v>0</v>
      </c>
      <c r="E23">
        <f t="shared" si="0"/>
        <v>0</v>
      </c>
    </row>
    <row r="24" spans="1:5" ht="20.25" thickBot="1">
      <c r="A24" s="1" t="s">
        <v>22</v>
      </c>
      <c r="B24" s="9" t="s">
        <v>83</v>
      </c>
      <c r="C24" s="24">
        <v>32</v>
      </c>
      <c r="D24" s="7">
        <v>0</v>
      </c>
      <c r="E24">
        <f t="shared" si="0"/>
        <v>32</v>
      </c>
    </row>
    <row r="25" spans="1:5" ht="20.25" thickBot="1">
      <c r="A25" s="1" t="s">
        <v>23</v>
      </c>
      <c r="B25" s="9" t="s">
        <v>83</v>
      </c>
      <c r="C25" s="24">
        <v>0</v>
      </c>
      <c r="D25" s="7">
        <v>0</v>
      </c>
      <c r="E25">
        <f t="shared" si="0"/>
        <v>0</v>
      </c>
    </row>
    <row r="26" spans="1:5" ht="20.25" thickBot="1">
      <c r="A26" s="2" t="s">
        <v>24</v>
      </c>
      <c r="B26" s="9" t="s">
        <v>83</v>
      </c>
      <c r="C26" s="26">
        <v>100</v>
      </c>
      <c r="D26" s="7">
        <v>0</v>
      </c>
      <c r="E26">
        <f t="shared" si="0"/>
        <v>100</v>
      </c>
    </row>
    <row r="27" spans="1:5" ht="15.75" thickTop="1"/>
  </sheetData>
  <conditionalFormatting sqref="C2:C26">
    <cfRule type="cellIs" dxfId="0" priority="1" operator="lessThanOrEqual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vefa arabacı</dc:creator>
  <cp:lastModifiedBy>muhammed vefa arabacı</cp:lastModifiedBy>
  <dcterms:created xsi:type="dcterms:W3CDTF">2026-04-17T09:01:29Z</dcterms:created>
  <dcterms:modified xsi:type="dcterms:W3CDTF">2026-05-11T13:22:35Z</dcterms:modified>
</cp:coreProperties>
</file>